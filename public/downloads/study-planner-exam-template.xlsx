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Shared drives\HS SLT\Student Matters\"/>
    </mc:Choice>
  </mc:AlternateContent>
  <bookViews>
    <workbookView xWindow="0" yWindow="0" windowWidth="20490" windowHeight="7050" activeTab="1"/>
  </bookViews>
  <sheets>
    <sheet name="Why plan" sheetId="5" r:id="rId1"/>
    <sheet name="Instructions" sheetId="4" r:id="rId2"/>
    <sheet name="MyStudyCalendar" sheetId="3" r:id="rId3"/>
    <sheet name="Gd 7 - 9" sheetId="1" r:id="rId4"/>
    <sheet name="Gd 10 -12" sheetId="2" r:id="rId5"/>
    <sheet name="DEMO MyStudyCalendar" sheetId="6" r:id="rId6"/>
    <sheet name="DEMO Gd 7 - 9" sheetId="7" r:id="rId7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2" l="1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7" i="2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6" i="1"/>
  <c r="F7" i="7"/>
  <c r="F8" i="7"/>
  <c r="F10" i="7"/>
  <c r="F11" i="7"/>
  <c r="F13" i="7"/>
  <c r="F14" i="7"/>
  <c r="F15" i="7"/>
  <c r="F16" i="7"/>
  <c r="F19" i="7"/>
  <c r="F20" i="7"/>
  <c r="F21" i="7"/>
  <c r="F6" i="7"/>
  <c r="D22" i="2"/>
  <c r="E9" i="7"/>
  <c r="F9" i="7" s="1"/>
  <c r="E12" i="7"/>
  <c r="F12" i="7" s="1"/>
  <c r="E17" i="7"/>
  <c r="F17" i="7" s="1"/>
  <c r="E18" i="7"/>
  <c r="F18" i="7" s="1"/>
  <c r="D22" i="7"/>
  <c r="H19" i="6"/>
  <c r="B21" i="6" s="1"/>
  <c r="C21" i="6" s="1"/>
  <c r="D21" i="6" s="1"/>
  <c r="E21" i="6" s="1"/>
  <c r="F21" i="6" s="1"/>
  <c r="G21" i="6" s="1"/>
  <c r="E13" i="6"/>
  <c r="F13" i="6" s="1"/>
  <c r="G13" i="6" s="1"/>
  <c r="H13" i="6" s="1"/>
  <c r="B15" i="6" s="1"/>
  <c r="C15" i="6" s="1"/>
  <c r="D15" i="6" s="1"/>
  <c r="E15" i="6" s="1"/>
  <c r="F15" i="6" s="1"/>
  <c r="G15" i="6" s="1"/>
  <c r="H15" i="6" s="1"/>
  <c r="B17" i="6" s="1"/>
  <c r="C17" i="6" s="1"/>
  <c r="D17" i="6" s="1"/>
  <c r="E17" i="6" s="1"/>
  <c r="F17" i="6" s="1"/>
  <c r="G17" i="6" s="1"/>
  <c r="H17" i="6" s="1"/>
  <c r="B19" i="6" s="1"/>
  <c r="C19" i="6" s="1"/>
  <c r="D19" i="6" s="1"/>
  <c r="E19" i="6" s="1"/>
  <c r="F19" i="6" s="1"/>
  <c r="F11" i="6"/>
  <c r="G11" i="6" s="1"/>
  <c r="H11" i="6" s="1"/>
  <c r="B13" i="6" s="1"/>
  <c r="D9" i="6"/>
  <c r="M10" i="3"/>
  <c r="B21" i="3"/>
  <c r="H19" i="3"/>
  <c r="F11" i="3"/>
  <c r="E22" i="7" l="1"/>
  <c r="E9" i="6"/>
  <c r="F9" i="6" s="1"/>
  <c r="G9" i="6" s="1"/>
  <c r="H9" i="6" s="1"/>
  <c r="B11" i="6" s="1"/>
  <c r="C11" i="6" s="1"/>
  <c r="E22" i="1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7" i="2"/>
  <c r="M10" i="6" l="1"/>
  <c r="E23" i="7" s="1"/>
  <c r="C21" i="3"/>
  <c r="D21" i="3" s="1"/>
  <c r="E21" i="3" s="1"/>
  <c r="F21" i="3" s="1"/>
  <c r="G21" i="3" s="1"/>
  <c r="D9" i="3"/>
  <c r="E9" i="3" s="1"/>
  <c r="F9" i="3" s="1"/>
  <c r="G9" i="3" s="1"/>
  <c r="H9" i="3" s="1"/>
  <c r="B11" i="3" s="1"/>
  <c r="C11" i="3" s="1"/>
  <c r="D22" i="1"/>
  <c r="G11" i="3" l="1"/>
  <c r="H11" i="3" s="1"/>
  <c r="B13" i="3" s="1"/>
  <c r="E13" i="3" s="1"/>
  <c r="F13" i="3" s="1"/>
  <c r="G13" i="3" s="1"/>
  <c r="H13" i="3" s="1"/>
  <c r="B15" i="3" s="1"/>
  <c r="C15" i="3" s="1"/>
  <c r="D15" i="3" s="1"/>
  <c r="E15" i="3" s="1"/>
  <c r="F15" i="3" s="1"/>
  <c r="G15" i="3" s="1"/>
  <c r="H15" i="3" s="1"/>
  <c r="B17" i="3" s="1"/>
  <c r="C17" i="3" s="1"/>
  <c r="D17" i="3" s="1"/>
  <c r="E17" i="3" s="1"/>
  <c r="F17" i="3" s="1"/>
  <c r="G17" i="3" s="1"/>
  <c r="H17" i="3" s="1"/>
  <c r="B19" i="3" s="1"/>
  <c r="C19" i="3" s="1"/>
  <c r="D19" i="3" s="1"/>
  <c r="E19" i="3" s="1"/>
  <c r="F19" i="3" s="1"/>
  <c r="E23" i="1" l="1"/>
  <c r="D24" i="2" l="1"/>
</calcChain>
</file>

<file path=xl/sharedStrings.xml><?xml version="1.0" encoding="utf-8"?>
<sst xmlns="http://schemas.openxmlformats.org/spreadsheetml/2006/main" count="226" uniqueCount="100">
  <si>
    <t>My Study Timetable Planner</t>
  </si>
  <si>
    <t>NOVEMBER 2024</t>
  </si>
  <si>
    <t>Subject</t>
  </si>
  <si>
    <t>Paper</t>
  </si>
  <si>
    <t>Eng</t>
  </si>
  <si>
    <t>P1</t>
  </si>
  <si>
    <t>P2</t>
  </si>
  <si>
    <t>Afrik</t>
  </si>
  <si>
    <t>Maths</t>
  </si>
  <si>
    <t>LO</t>
  </si>
  <si>
    <t>DT</t>
  </si>
  <si>
    <t>Geog</t>
  </si>
  <si>
    <t>Hist</t>
  </si>
  <si>
    <t>Pages</t>
  </si>
  <si>
    <t>Study hours</t>
  </si>
  <si>
    <t>Rate (pgs to study per hour)</t>
  </si>
  <si>
    <t>Example</t>
  </si>
  <si>
    <t>Total</t>
  </si>
  <si>
    <t>Study hours =</t>
  </si>
  <si>
    <t>Pages=</t>
  </si>
  <si>
    <t xml:space="preserve">Number of hours you are allocating to this paper. </t>
  </si>
  <si>
    <t>Rate =</t>
  </si>
  <si>
    <t>Legend</t>
  </si>
  <si>
    <t>P3</t>
  </si>
  <si>
    <t>Maths/MaL</t>
  </si>
  <si>
    <t>Elective 1</t>
  </si>
  <si>
    <t>Elective 2</t>
  </si>
  <si>
    <t>Elective 3</t>
  </si>
  <si>
    <t>How fast you will have to study to get through your studying for this paper with the number of study hours you have allocated.</t>
  </si>
  <si>
    <t>Sun</t>
  </si>
  <si>
    <t>Mon</t>
  </si>
  <si>
    <t>Tue</t>
  </si>
  <si>
    <t>Wed</t>
  </si>
  <si>
    <t>Thu</t>
  </si>
  <si>
    <t>Fri</t>
  </si>
  <si>
    <t>Sat</t>
  </si>
  <si>
    <t>Work in full or half hours, e.g., 2 or 2,5</t>
  </si>
  <si>
    <t>ONLY ENTER IN THE PINK CELLS</t>
  </si>
  <si>
    <t>NS</t>
  </si>
  <si>
    <t>&lt; DO NOT TOUCH THIS CELL!! 
If it goes red, the table has more planned hours than available in your calendar!</t>
  </si>
  <si>
    <t>November</t>
  </si>
  <si>
    <t xml:space="preserve">My TOTAL AVAILABLE hours: </t>
  </si>
  <si>
    <t>Well planned studying means  …</t>
  </si>
  <si>
    <t>you KNOW how much you have to study far enough ahead to deal with things that go wrong</t>
  </si>
  <si>
    <t>you FACE your challenges (good!) rather than trying to run away from them (bad!)</t>
  </si>
  <si>
    <t>Why a planner?</t>
  </si>
  <si>
    <t>you will more likely get the marks you are expecting</t>
  </si>
  <si>
    <t>Before we begin…</t>
  </si>
  <si>
    <t xml:space="preserve">Practice </t>
  </si>
  <si>
    <t>Practice =</t>
  </si>
  <si>
    <t>Studying' =</t>
  </si>
  <si>
    <t xml:space="preserve">Number of Study hours for practicing past papers. </t>
  </si>
  <si>
    <t>Actual 'Studying'</t>
  </si>
  <si>
    <t>'Study' Rate (pgs to per hour)</t>
  </si>
  <si>
    <t xml:space="preserve">Planning will involve allocating study hours to each exam paper. These hours should allow at least 50% of time to practicing from past papers. </t>
  </si>
  <si>
    <r>
      <t xml:space="preserve">2. GO TO the </t>
    </r>
    <r>
      <rPr>
        <i/>
        <sz val="11"/>
        <color theme="1"/>
        <rFont val="Aptos Narrow"/>
        <scheme val="minor"/>
      </rPr>
      <t>MyStudyCalendar</t>
    </r>
    <r>
      <rPr>
        <sz val="11"/>
        <color theme="1"/>
        <rFont val="Aptos Narrow"/>
        <family val="2"/>
        <scheme val="minor"/>
      </rPr>
      <t xml:space="preserve"> tab.  </t>
    </r>
  </si>
  <si>
    <r>
      <t xml:space="preserve">3. </t>
    </r>
    <r>
      <rPr>
        <sz val="11"/>
        <color rgb="FFFF0000"/>
        <rFont val="Aptos Narrow"/>
        <scheme val="minor"/>
      </rPr>
      <t>Are you in Gd 7-9?</t>
    </r>
    <r>
      <rPr>
        <sz val="11"/>
        <color theme="1"/>
        <rFont val="Aptos Narrow"/>
        <family val="2"/>
        <scheme val="minor"/>
      </rPr>
      <t xml:space="preserve"> GO TO that sheet. </t>
    </r>
    <r>
      <rPr>
        <sz val="11"/>
        <color rgb="FFFF0000"/>
        <rFont val="Aptos Narrow"/>
        <scheme val="minor"/>
      </rPr>
      <t>Are you in Gd 10 - 12?</t>
    </r>
    <r>
      <rPr>
        <sz val="11"/>
        <color theme="1"/>
        <rFont val="Aptos Narrow"/>
        <family val="2"/>
        <scheme val="minor"/>
      </rPr>
      <t xml:space="preserve"> GO TO that sheet.</t>
    </r>
  </si>
  <si>
    <r>
      <t xml:space="preserve">Is it more than the </t>
    </r>
    <r>
      <rPr>
        <i/>
        <sz val="11"/>
        <color theme="1"/>
        <rFont val="Aptos Narrow"/>
        <scheme val="minor"/>
      </rPr>
      <t>Total Available</t>
    </r>
    <r>
      <rPr>
        <sz val="11"/>
        <color theme="1"/>
        <rFont val="Aptos Narrow"/>
        <family val="2"/>
        <scheme val="minor"/>
      </rPr>
      <t xml:space="preserve"> hours? You are going to have to allocate fewer hours or find a way to increase your available hours</t>
    </r>
  </si>
  <si>
    <r>
      <t xml:space="preserve">Is it the same as your </t>
    </r>
    <r>
      <rPr>
        <i/>
        <sz val="11"/>
        <color theme="1"/>
        <rFont val="Aptos Narrow"/>
        <scheme val="minor"/>
      </rPr>
      <t>Total Available</t>
    </r>
    <r>
      <rPr>
        <sz val="11"/>
        <color theme="1"/>
        <rFont val="Aptos Narrow"/>
        <family val="2"/>
        <scheme val="minor"/>
      </rPr>
      <t xml:space="preserve"> hours? Perfect … but you will have to stick carefully to your plans to stay on track</t>
    </r>
  </si>
  <si>
    <t>3.6 PRINT out your table.</t>
  </si>
  <si>
    <t>Want to take it to the next level?</t>
  </si>
  <si>
    <t>INSTRUCTIONS</t>
  </si>
  <si>
    <t>Your planning will ensure your studying is complete BEFORE exams begin. Use the time during exams to go over your work again (very beneficial) without stress</t>
  </si>
  <si>
    <t>EXAMS BEGIN</t>
  </si>
  <si>
    <t>&lt;  DO NOT CHANGE THIS CELL!!!!</t>
  </si>
  <si>
    <t>Creative Arts (Gd 9)</t>
  </si>
  <si>
    <t>EMS (Gd 8/9)</t>
  </si>
  <si>
    <t>Afrik (Gd 9)</t>
  </si>
  <si>
    <t>Pages =</t>
  </si>
  <si>
    <t>you KNOW you have the time to do everything you wanted. Confience up; anxiety down.</t>
  </si>
  <si>
    <t>you KNOW when you have to work, and when you can enjoy your free time guilt- and worry-free</t>
  </si>
  <si>
    <r>
      <t>1.</t>
    </r>
    <r>
      <rPr>
        <b/>
        <sz val="11"/>
        <color theme="1"/>
        <rFont val="Aptos Narrow"/>
        <scheme val="minor"/>
      </rPr>
      <t xml:space="preserve"> </t>
    </r>
    <r>
      <rPr>
        <sz val="11"/>
        <color theme="1"/>
        <rFont val="Aptos Narrow"/>
        <scheme val="minor"/>
      </rPr>
      <t>DO a mind check: H</t>
    </r>
    <r>
      <rPr>
        <sz val="11"/>
        <color theme="1"/>
        <rFont val="Aptos Narrow"/>
        <family val="2"/>
        <scheme val="minor"/>
      </rPr>
      <t>ow serious are you about these exams and sticking to your goals?</t>
    </r>
  </si>
  <si>
    <t>2.1 For each day, CONSIDER your diary/commitments.</t>
  </si>
  <si>
    <r>
      <t xml:space="preserve">You will see the </t>
    </r>
    <r>
      <rPr>
        <i/>
        <sz val="11"/>
        <color theme="1"/>
        <rFont val="Aptos Narrow"/>
        <scheme val="minor"/>
      </rPr>
      <t xml:space="preserve">Total Available </t>
    </r>
    <r>
      <rPr>
        <sz val="11"/>
        <color theme="1"/>
        <rFont val="Aptos Narrow"/>
        <family val="2"/>
        <scheme val="minor"/>
      </rPr>
      <t>hours already filled in.</t>
    </r>
  </si>
  <si>
    <r>
      <t xml:space="preserve">For each paper, ALLOCATE how many of your </t>
    </r>
    <r>
      <rPr>
        <i/>
        <sz val="11"/>
        <color theme="1"/>
        <rFont val="Aptos Narrow"/>
        <scheme val="minor"/>
      </rPr>
      <t>Study</t>
    </r>
    <r>
      <rPr>
        <sz val="11"/>
        <color theme="1"/>
        <rFont val="Aptos Narrow"/>
        <family val="2"/>
        <scheme val="minor"/>
      </rPr>
      <t xml:space="preserve"> hours you will use to Actually 'study'. The practice hours will show automatically.</t>
    </r>
  </si>
  <si>
    <r>
      <t xml:space="preserve">3.4 LOOK at the </t>
    </r>
    <r>
      <rPr>
        <i/>
        <sz val="11"/>
        <color theme="1"/>
        <rFont val="Aptos Narrow"/>
        <scheme val="minor"/>
      </rPr>
      <t>Rate</t>
    </r>
    <r>
      <rPr>
        <sz val="11"/>
        <color theme="1"/>
        <rFont val="Aptos Narrow"/>
        <family val="2"/>
        <scheme val="minor"/>
      </rPr>
      <t xml:space="preserve"> column. This is the rate for </t>
    </r>
    <r>
      <rPr>
        <i/>
        <u/>
        <sz val="11"/>
        <color theme="1"/>
        <rFont val="Aptos Narrow"/>
        <scheme val="minor"/>
      </rPr>
      <t>Actual Studying</t>
    </r>
    <r>
      <rPr>
        <sz val="11"/>
        <color theme="1"/>
        <rFont val="Aptos Narrow"/>
        <family val="2"/>
        <scheme val="minor"/>
      </rPr>
      <t xml:space="preserve">. Your hours for Practice are extra. </t>
    </r>
  </si>
  <si>
    <t>&gt; Yes: Perfect.  Stick with that.</t>
  </si>
  <si>
    <r>
      <t xml:space="preserve">For each paper, does the </t>
    </r>
    <r>
      <rPr>
        <i/>
        <sz val="11"/>
        <color rgb="FFFF0000"/>
        <rFont val="Aptos Narrow"/>
        <scheme val="minor"/>
      </rPr>
      <t>Rate</t>
    </r>
    <r>
      <rPr>
        <sz val="11"/>
        <color rgb="FFFF0000"/>
        <rFont val="Aptos Narrow"/>
        <family val="2"/>
        <scheme val="minor"/>
      </rPr>
      <t xml:space="preserve"> look doable?</t>
    </r>
  </si>
  <si>
    <r>
      <t xml:space="preserve">3.5 LOOK at the </t>
    </r>
    <r>
      <rPr>
        <i/>
        <sz val="11"/>
        <color theme="1"/>
        <rFont val="Aptos Narrow"/>
        <scheme val="minor"/>
      </rPr>
      <t>Study Hours</t>
    </r>
    <r>
      <rPr>
        <sz val="11"/>
        <color theme="1"/>
        <rFont val="Aptos Narrow"/>
        <family val="2"/>
        <scheme val="minor"/>
      </rPr>
      <t xml:space="preserve"> column </t>
    </r>
    <r>
      <rPr>
        <i/>
        <sz val="11"/>
        <color theme="1"/>
        <rFont val="Aptos Narrow"/>
        <scheme val="minor"/>
      </rPr>
      <t xml:space="preserve">Total </t>
    </r>
    <r>
      <rPr>
        <sz val="11"/>
        <color theme="1"/>
        <rFont val="Aptos Narrow"/>
        <scheme val="minor"/>
      </rPr>
      <t>row.</t>
    </r>
  </si>
  <si>
    <r>
      <t>Is it less than the</t>
    </r>
    <r>
      <rPr>
        <i/>
        <sz val="11"/>
        <color theme="1"/>
        <rFont val="Aptos Narrow"/>
        <scheme val="minor"/>
      </rPr>
      <t xml:space="preserve"> Total Available</t>
    </r>
    <r>
      <rPr>
        <sz val="11"/>
        <color theme="1"/>
        <rFont val="Aptos Narrow"/>
        <family val="2"/>
        <scheme val="minor"/>
      </rPr>
      <t xml:space="preserve"> hours? Happy days! You've set aside more time than you need. </t>
    </r>
  </si>
  <si>
    <t>DRAW up a calendar grid on A3 paper to the end of exams</t>
  </si>
  <si>
    <t>My Study Calendar - November 2024</t>
  </si>
  <si>
    <t>Number of textbook pages of CONTENT you have to study. Ignore enrichment contebt and task. Count in full or half pages. Don't count exercises, tasks, etc</t>
  </si>
  <si>
    <t>Number of Study hours you are allocating to actual studying i.e., note making, processing, thinking</t>
  </si>
  <si>
    <t>&lt; DO NOT TOUCH THIS CELL!! 
If it goes red, you’ve allocated more hours than you have available!</t>
  </si>
  <si>
    <r>
      <rPr>
        <b/>
        <sz val="11"/>
        <color theme="1"/>
        <rFont val="Aptos Narrow"/>
        <scheme val="minor"/>
      </rPr>
      <t>Available study hours</t>
    </r>
    <r>
      <rPr>
        <sz val="11"/>
        <color theme="1"/>
        <rFont val="Aptos Narrow"/>
        <family val="2"/>
        <scheme val="minor"/>
      </rPr>
      <t xml:space="preserve"> (from MyStudyCalendar).  NB:Total of </t>
    </r>
    <r>
      <rPr>
        <i/>
        <sz val="11"/>
        <color theme="1"/>
        <rFont val="Aptos Narrow"/>
        <scheme val="minor"/>
      </rPr>
      <t>Study Hours</t>
    </r>
    <r>
      <rPr>
        <sz val="11"/>
        <color theme="1"/>
        <rFont val="Aptos Narrow"/>
        <family val="2"/>
        <scheme val="minor"/>
      </rPr>
      <t xml:space="preserve"> can't exceed this!</t>
    </r>
  </si>
  <si>
    <t xml:space="preserve"> OCT 1</t>
  </si>
  <si>
    <t xml:space="preserve"> SEP 22</t>
  </si>
  <si>
    <t>7  T4</t>
  </si>
  <si>
    <r>
      <t xml:space="preserve">In each PINK block, enter the number of hours you are </t>
    </r>
    <r>
      <rPr>
        <u/>
        <sz val="11"/>
        <color theme="1"/>
        <rFont val="Calibri"/>
        <family val="2"/>
      </rPr>
      <t>willing</t>
    </r>
    <r>
      <rPr>
        <sz val="11"/>
        <color theme="1"/>
        <rFont val="Calibri"/>
        <family val="2"/>
      </rPr>
      <t xml:space="preserve"> to study. These are Available hours.</t>
    </r>
  </si>
  <si>
    <t>ONLY UPDATE THE GREEN BLOCKS</t>
  </si>
  <si>
    <r>
      <t xml:space="preserve">2.2 WRITE in each pink block how many hours you think you could </t>
    </r>
    <r>
      <rPr>
        <u/>
        <sz val="11"/>
        <color theme="1"/>
        <rFont val="Aptos Narrow"/>
        <scheme val="minor"/>
      </rPr>
      <t>realistically</t>
    </r>
    <r>
      <rPr>
        <sz val="11"/>
        <color theme="1"/>
        <rFont val="Aptos Narrow"/>
        <family val="2"/>
        <scheme val="minor"/>
      </rPr>
      <t xml:space="preserve"> study. These are called your </t>
    </r>
    <r>
      <rPr>
        <u/>
        <sz val="11"/>
        <color theme="1"/>
        <rFont val="Aptos Narrow"/>
        <scheme val="minor"/>
      </rPr>
      <t>Available</t>
    </r>
    <r>
      <rPr>
        <sz val="11"/>
        <color theme="1"/>
        <rFont val="Aptos Narrow"/>
        <family val="2"/>
        <scheme val="minor"/>
      </rPr>
      <t xml:space="preserve"> hours. They will total automatically.</t>
    </r>
  </si>
  <si>
    <r>
      <t xml:space="preserve">3.1 For each paper you want to plan your studying for, PHYSICALLY COUNT the number of textbook pages of </t>
    </r>
    <r>
      <rPr>
        <u/>
        <sz val="11"/>
        <color theme="1"/>
        <rFont val="Aptos Narrow"/>
        <scheme val="minor"/>
      </rPr>
      <t>content</t>
    </r>
    <r>
      <rPr>
        <sz val="11"/>
        <color theme="1"/>
        <rFont val="Aptos Narrow"/>
        <family val="2"/>
        <scheme val="minor"/>
      </rPr>
      <t xml:space="preserve"> you need to study.  ENTER this in the </t>
    </r>
    <r>
      <rPr>
        <i/>
        <sz val="11"/>
        <color theme="1"/>
        <rFont val="Aptos Narrow"/>
        <scheme val="minor"/>
      </rPr>
      <t>Pages</t>
    </r>
    <r>
      <rPr>
        <sz val="11"/>
        <color theme="1"/>
        <rFont val="Aptos Narrow"/>
        <family val="2"/>
        <scheme val="minor"/>
      </rPr>
      <t xml:space="preserve"> column.</t>
    </r>
  </si>
  <si>
    <t>3.2 Take your Available hours and ALLOCATE the time between the various papers, bearing in mind the study needs for that paper.</t>
  </si>
  <si>
    <r>
      <t xml:space="preserve">3.3 Skip this step if you are in Gd 7-9. </t>
    </r>
    <r>
      <rPr>
        <sz val="11"/>
        <color rgb="FFFF0000"/>
        <rFont val="Aptos Narrow"/>
        <scheme val="minor"/>
      </rPr>
      <t>If you are in Gd 10 - 12</t>
    </r>
    <r>
      <rPr>
        <sz val="11"/>
        <color theme="1"/>
        <rFont val="Aptos Narrow"/>
        <family val="2"/>
        <scheme val="minor"/>
      </rPr>
      <t>, you need to be even more intentional about practice .</t>
    </r>
  </si>
  <si>
    <t>&gt; No - some are too demanding: ADJUST your allocation to steal hours from elsewhere, or up your Available hours.</t>
  </si>
  <si>
    <t xml:space="preserve">For each day, WRITE what paper you are going to study, for how long, and what pages. Get specific. </t>
  </si>
  <si>
    <t>PASTE the calendar up where it is prominent. Tick off your work as you get through it. Completing things is motivating.</t>
  </si>
  <si>
    <t>Remember: Of the available hours on a day, you only have to use the hours you actually allocated.</t>
  </si>
  <si>
    <t>NOTE: The two DEMO tabs show what the completed tabs might look like.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</si>
</sst>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rgb="FFFF0000"/>
      <name val="Aptos Narrow"/>
      <scheme val="minor"/>
    </font>
    <font>
      <i/>
      <sz val="11"/>
      <color theme="1"/>
      <name val="Aptos Narrow"/>
      <scheme val="minor"/>
    </font>
    <font>
      <u/>
      <sz val="11"/>
      <color theme="1"/>
      <name val="Aptos Narrow"/>
      <scheme val="minor"/>
    </font>
    <font>
      <b/>
      <sz val="11"/>
      <color theme="0" tint="-0.34998626667073579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i/>
      <u/>
      <sz val="11"/>
      <color theme="1"/>
      <name val="Aptos Narrow"/>
      <scheme val="minor"/>
    </font>
    <font>
      <i/>
      <sz val="11"/>
      <color rgb="FFFF0000"/>
      <name val="Aptos Narrow"/>
      <scheme val="minor"/>
    </font>
    <font>
      <sz val="18"/>
      <color theme="1"/>
      <name val="Aptos Narrow"/>
      <family val="2"/>
      <scheme val="minor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18"/>
      <color theme="1"/>
      <name val="Calibri"/>
      <family val="2"/>
    </font>
    <font>
      <sz val="2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quotePrefix="1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3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7" fillId="0" borderId="0" xfId="0" applyFont="1"/>
    <xf numFmtId="0" fontId="2" fillId="0" borderId="1" xfId="0" quotePrefix="1" applyFont="1" applyBorder="1" applyAlignment="1">
      <alignment horizontal="center" wrapText="1"/>
    </xf>
    <xf numFmtId="0" fontId="12" fillId="0" borderId="0" xfId="0" applyFont="1"/>
    <xf numFmtId="0" fontId="13" fillId="0" borderId="0" xfId="0" applyFont="1" applyAlignment="1">
      <alignment wrapText="1"/>
    </xf>
    <xf numFmtId="0" fontId="12" fillId="0" borderId="2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0" borderId="2" xfId="0" quotePrefix="1" applyFont="1" applyBorder="1" applyAlignment="1">
      <alignment horizontal="left" vertical="center"/>
    </xf>
    <xf numFmtId="0" fontId="12" fillId="0" borderId="3" xfId="0" quotePrefix="1" applyFont="1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1" fillId="0" borderId="0" xfId="0" applyFont="1"/>
    <xf numFmtId="0" fontId="22" fillId="0" borderId="2" xfId="0" applyFont="1" applyBorder="1" applyAlignment="1">
      <alignment horizontal="left"/>
    </xf>
    <xf numFmtId="0" fontId="23" fillId="0" borderId="2" xfId="0" applyFont="1" applyBorder="1" applyAlignment="1">
      <alignment horizontal="left"/>
    </xf>
    <xf numFmtId="0" fontId="18" fillId="2" borderId="3" xfId="0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3" borderId="3" xfId="0" applyFont="1" applyFill="1" applyBorder="1" applyAlignment="1">
      <alignment horizontal="center" wrapText="1"/>
    </xf>
    <xf numFmtId="0" fontId="24" fillId="0" borderId="0" xfId="0" applyFont="1" applyAlignment="1">
      <alignment horizontal="center"/>
    </xf>
    <xf numFmtId="0" fontId="13" fillId="0" borderId="5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showGridLines="0" workbookViewId="0">
      <selection activeCell="E12" sqref="E12"/>
    </sheetView>
  </sheetViews>
  <sheetFormatPr defaultRowHeight="14.25"/>
  <sheetData>
    <row r="1" spans="1:2" ht="15">
      <c r="A1" s="13" t="s">
        <v>45</v>
      </c>
    </row>
    <row r="2" spans="1:2">
      <c r="A2" t="s">
        <v>42</v>
      </c>
    </row>
    <row r="3" spans="1:2">
      <c r="B3" t="s">
        <v>43</v>
      </c>
    </row>
    <row r="4" spans="1:2">
      <c r="B4" t="s">
        <v>69</v>
      </c>
    </row>
    <row r="5" spans="1:2">
      <c r="B5" t="s">
        <v>44</v>
      </c>
    </row>
    <row r="6" spans="1:2">
      <c r="B6" t="s">
        <v>46</v>
      </c>
    </row>
    <row r="7" spans="1:2">
      <c r="B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showGridLines="0" tabSelected="1" topLeftCell="A13" workbookViewId="0">
      <selection activeCell="A26" sqref="A26"/>
    </sheetView>
  </sheetViews>
  <sheetFormatPr defaultRowHeight="14.25"/>
  <sheetData>
    <row r="1" spans="1:3" ht="15">
      <c r="A1" s="13" t="s">
        <v>47</v>
      </c>
    </row>
    <row r="2" spans="1:3">
      <c r="A2" t="s">
        <v>54</v>
      </c>
    </row>
    <row r="3" spans="1:3">
      <c r="A3" t="s">
        <v>62</v>
      </c>
    </row>
    <row r="5" spans="1:3" ht="15">
      <c r="A5" s="13" t="s">
        <v>61</v>
      </c>
    </row>
    <row r="6" spans="1:3" ht="21.75" customHeight="1">
      <c r="A6" t="s">
        <v>71</v>
      </c>
    </row>
    <row r="7" spans="1:3" ht="21.75" customHeight="1">
      <c r="A7" t="s">
        <v>55</v>
      </c>
    </row>
    <row r="8" spans="1:3">
      <c r="B8" t="s">
        <v>72</v>
      </c>
    </row>
    <row r="9" spans="1:3">
      <c r="B9" t="s">
        <v>91</v>
      </c>
    </row>
    <row r="10" spans="1:3" ht="24" customHeight="1">
      <c r="A10" t="s">
        <v>56</v>
      </c>
    </row>
    <row r="11" spans="1:3" ht="24" customHeight="1">
      <c r="B11" t="s">
        <v>73</v>
      </c>
    </row>
    <row r="12" spans="1:3">
      <c r="B12" t="s">
        <v>92</v>
      </c>
    </row>
    <row r="13" spans="1:3">
      <c r="B13" t="s">
        <v>93</v>
      </c>
    </row>
    <row r="14" spans="1:3">
      <c r="B14" t="s">
        <v>94</v>
      </c>
    </row>
    <row r="15" spans="1:3">
      <c r="C15" t="s">
        <v>74</v>
      </c>
    </row>
    <row r="16" spans="1:3">
      <c r="B16" t="s">
        <v>75</v>
      </c>
    </row>
    <row r="17" spans="1:3">
      <c r="C17" s="5" t="s">
        <v>77</v>
      </c>
    </row>
    <row r="18" spans="1:3">
      <c r="C18" t="s">
        <v>95</v>
      </c>
    </row>
    <row r="19" spans="1:3">
      <c r="C19" t="s">
        <v>76</v>
      </c>
    </row>
    <row r="20" spans="1:3">
      <c r="B20" t="s">
        <v>78</v>
      </c>
    </row>
    <row r="21" spans="1:3">
      <c r="C21" t="s">
        <v>57</v>
      </c>
    </row>
    <row r="22" spans="1:3">
      <c r="C22" t="s">
        <v>58</v>
      </c>
    </row>
    <row r="23" spans="1:3">
      <c r="C23" t="s">
        <v>79</v>
      </c>
    </row>
    <row r="24" spans="1:3">
      <c r="B24" t="s">
        <v>59</v>
      </c>
    </row>
    <row r="26" spans="1:3">
      <c r="A26" t="s">
        <v>99</v>
      </c>
    </row>
    <row r="28" spans="1:3" ht="15">
      <c r="A28" s="13" t="s">
        <v>60</v>
      </c>
    </row>
    <row r="29" spans="1:3">
      <c r="A29" t="s">
        <v>80</v>
      </c>
      <c r="B29" t="s">
        <v>98</v>
      </c>
    </row>
    <row r="30" spans="1:3">
      <c r="A30" t="s">
        <v>96</v>
      </c>
    </row>
    <row r="32" spans="1:3">
      <c r="A32" t="s">
        <v>97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5"/>
  <sheetViews>
    <sheetView showGridLines="0" topLeftCell="A7" workbookViewId="0">
      <selection activeCell="N20" sqref="N20"/>
    </sheetView>
  </sheetViews>
  <sheetFormatPr defaultRowHeight="15"/>
  <cols>
    <col min="1" max="1" width="3.875" style="38" customWidth="1"/>
    <col min="2" max="11" width="9" style="38"/>
    <col min="12" max="12" width="5" style="38" customWidth="1"/>
    <col min="13" max="13" width="5.125" style="38" customWidth="1"/>
    <col min="14" max="16384" width="9" style="38"/>
  </cols>
  <sheetData>
    <row r="1" spans="2:14" ht="18.75">
      <c r="B1" s="37" t="s">
        <v>81</v>
      </c>
    </row>
    <row r="3" spans="2:14">
      <c r="B3" s="39" t="s">
        <v>37</v>
      </c>
      <c r="C3" s="39"/>
    </row>
    <row r="4" spans="2:14">
      <c r="B4" s="38" t="s">
        <v>89</v>
      </c>
    </row>
    <row r="5" spans="2:14">
      <c r="B5" s="38" t="s">
        <v>36</v>
      </c>
    </row>
    <row r="7" spans="2:14">
      <c r="B7" s="40"/>
    </row>
    <row r="8" spans="2:14">
      <c r="B8" s="38" t="s">
        <v>29</v>
      </c>
      <c r="C8" s="38" t="s">
        <v>30</v>
      </c>
      <c r="D8" s="38" t="s">
        <v>31</v>
      </c>
      <c r="E8" s="38" t="s">
        <v>32</v>
      </c>
      <c r="F8" s="38" t="s">
        <v>33</v>
      </c>
      <c r="G8" s="38" t="s">
        <v>34</v>
      </c>
      <c r="H8" s="38" t="s">
        <v>35</v>
      </c>
    </row>
    <row r="9" spans="2:14">
      <c r="B9" s="41" t="s">
        <v>87</v>
      </c>
      <c r="C9" s="42">
        <v>23</v>
      </c>
      <c r="D9" s="42">
        <f t="shared" ref="D9:H9" si="0">C9+1</f>
        <v>24</v>
      </c>
      <c r="E9" s="42">
        <f t="shared" si="0"/>
        <v>25</v>
      </c>
      <c r="F9" s="42">
        <f t="shared" si="0"/>
        <v>26</v>
      </c>
      <c r="G9" s="42">
        <f t="shared" si="0"/>
        <v>27</v>
      </c>
      <c r="H9" s="42">
        <f t="shared" si="0"/>
        <v>28</v>
      </c>
    </row>
    <row r="10" spans="2:14" ht="30" customHeight="1">
      <c r="B10" s="43"/>
      <c r="C10" s="43"/>
      <c r="D10" s="43"/>
      <c r="E10" s="43"/>
      <c r="F10" s="43"/>
      <c r="G10" s="43"/>
      <c r="H10" s="43"/>
      <c r="J10" s="40" t="s">
        <v>41</v>
      </c>
      <c r="M10" s="49">
        <f>SUM(B9:H22)-736</f>
        <v>0</v>
      </c>
      <c r="N10" s="38" t="s">
        <v>64</v>
      </c>
    </row>
    <row r="11" spans="2:14" ht="15" customHeight="1">
      <c r="B11" s="42">
        <f>H9+1</f>
        <v>29</v>
      </c>
      <c r="C11" s="42">
        <f t="shared" ref="C11:D11" si="1">B11+1</f>
        <v>30</v>
      </c>
      <c r="D11" s="41" t="s">
        <v>86</v>
      </c>
      <c r="E11" s="42">
        <v>2</v>
      </c>
      <c r="F11" s="42">
        <f>E11+1</f>
        <v>3</v>
      </c>
      <c r="G11" s="42">
        <f>F11+1</f>
        <v>4</v>
      </c>
      <c r="H11" s="42">
        <f>G11+1</f>
        <v>5</v>
      </c>
      <c r="I11" s="44"/>
    </row>
    <row r="12" spans="2:14" ht="30" customHeight="1">
      <c r="B12" s="43"/>
      <c r="C12" s="43"/>
      <c r="D12" s="43"/>
      <c r="E12" s="43"/>
      <c r="F12" s="43"/>
      <c r="G12" s="43"/>
      <c r="H12" s="43"/>
      <c r="I12" s="45"/>
    </row>
    <row r="13" spans="2:14" ht="15" customHeight="1">
      <c r="B13" s="42">
        <f>H11+1</f>
        <v>6</v>
      </c>
      <c r="C13" s="41" t="s">
        <v>88</v>
      </c>
      <c r="D13" s="42">
        <v>8</v>
      </c>
      <c r="E13" s="42">
        <f>D13+1</f>
        <v>9</v>
      </c>
      <c r="F13" s="42">
        <f>E13+1</f>
        <v>10</v>
      </c>
      <c r="G13" s="42">
        <f>F13+1</f>
        <v>11</v>
      </c>
      <c r="H13" s="42">
        <f>G13+1</f>
        <v>12</v>
      </c>
      <c r="I13" s="46"/>
    </row>
    <row r="14" spans="2:14" ht="30" customHeight="1">
      <c r="B14" s="43"/>
      <c r="C14" s="43"/>
      <c r="D14" s="43"/>
      <c r="E14" s="43"/>
      <c r="F14" s="43"/>
      <c r="G14" s="43"/>
      <c r="H14" s="43"/>
      <c r="I14" s="45"/>
    </row>
    <row r="15" spans="2:14" ht="15" customHeight="1">
      <c r="B15" s="42">
        <f>H13+1</f>
        <v>13</v>
      </c>
      <c r="C15" s="42">
        <f>B15+1</f>
        <v>14</v>
      </c>
      <c r="D15" s="42">
        <f>C15+1</f>
        <v>15</v>
      </c>
      <c r="E15" s="42">
        <f>D15+1</f>
        <v>16</v>
      </c>
      <c r="F15" s="42">
        <f>E15+1</f>
        <v>17</v>
      </c>
      <c r="G15" s="42">
        <f>F15+1</f>
        <v>18</v>
      </c>
      <c r="H15" s="42">
        <f>G15+1</f>
        <v>19</v>
      </c>
      <c r="I15" s="46"/>
    </row>
    <row r="16" spans="2:14" ht="30" customHeight="1">
      <c r="B16" s="43"/>
      <c r="C16" s="43"/>
      <c r="D16" s="43"/>
      <c r="E16" s="43"/>
      <c r="F16" s="43"/>
      <c r="G16" s="43"/>
      <c r="H16" s="43"/>
    </row>
    <row r="17" spans="2:9" ht="15" customHeight="1">
      <c r="B17" s="42">
        <f>H15+1</f>
        <v>20</v>
      </c>
      <c r="C17" s="42">
        <f>B17+1</f>
        <v>21</v>
      </c>
      <c r="D17" s="42">
        <f>C17+1</f>
        <v>22</v>
      </c>
      <c r="E17" s="42">
        <f>D17+1</f>
        <v>23</v>
      </c>
      <c r="F17" s="42">
        <f>E17+1</f>
        <v>24</v>
      </c>
      <c r="G17" s="42">
        <f>F17+1</f>
        <v>25</v>
      </c>
      <c r="H17" s="42">
        <f>G17+1</f>
        <v>26</v>
      </c>
      <c r="I17" s="44"/>
    </row>
    <row r="18" spans="2:9" ht="30" customHeight="1">
      <c r="B18" s="43"/>
      <c r="C18" s="43"/>
      <c r="D18" s="43"/>
      <c r="E18" s="43"/>
      <c r="F18" s="43"/>
      <c r="G18" s="43"/>
      <c r="H18" s="43"/>
      <c r="I18" s="47"/>
    </row>
    <row r="19" spans="2:9" ht="15" customHeight="1">
      <c r="B19" s="42">
        <f>H17+1</f>
        <v>27</v>
      </c>
      <c r="C19" s="42">
        <f>B19+1</f>
        <v>28</v>
      </c>
      <c r="D19" s="42">
        <f>C19+1</f>
        <v>29</v>
      </c>
      <c r="E19" s="42">
        <f>D19+1</f>
        <v>30</v>
      </c>
      <c r="F19" s="42">
        <f>E19+1</f>
        <v>31</v>
      </c>
      <c r="G19" s="42">
        <v>1</v>
      </c>
      <c r="H19" s="42">
        <f>G19+1</f>
        <v>2</v>
      </c>
    </row>
    <row r="20" spans="2:9" ht="30" customHeight="1">
      <c r="B20" s="43"/>
      <c r="C20" s="43"/>
      <c r="D20" s="43"/>
      <c r="E20" s="43"/>
      <c r="F20" s="43"/>
      <c r="G20" s="43"/>
      <c r="H20" s="43"/>
    </row>
    <row r="21" spans="2:9" ht="15" customHeight="1">
      <c r="B21" s="42">
        <f>H19+1</f>
        <v>3</v>
      </c>
      <c r="C21" s="42">
        <f t="shared" ref="C21:H21" si="2">B21+1</f>
        <v>4</v>
      </c>
      <c r="D21" s="42">
        <f t="shared" si="2"/>
        <v>5</v>
      </c>
      <c r="E21" s="42">
        <f t="shared" si="2"/>
        <v>6</v>
      </c>
      <c r="F21" s="42">
        <f t="shared" si="2"/>
        <v>7</v>
      </c>
      <c r="G21" s="42">
        <f t="shared" si="2"/>
        <v>8</v>
      </c>
    </row>
    <row r="22" spans="2:9" ht="30" customHeight="1">
      <c r="B22" s="43"/>
      <c r="C22" s="43"/>
      <c r="D22" s="43"/>
      <c r="E22" s="43"/>
      <c r="F22" s="43"/>
      <c r="G22" s="48" t="s">
        <v>63</v>
      </c>
    </row>
    <row r="23" spans="2:9" ht="30" customHeight="1"/>
    <row r="24" spans="2:9" ht="15" customHeight="1"/>
    <row r="25" spans="2:9" ht="30" customHeight="1"/>
    <row r="26" spans="2:9" ht="15" customHeight="1"/>
    <row r="27" spans="2:9" ht="15" customHeight="1">
      <c r="B27" s="40" t="s">
        <v>40</v>
      </c>
    </row>
    <row r="28" spans="2:9" ht="15" customHeight="1">
      <c r="B28" s="38" t="s">
        <v>29</v>
      </c>
      <c r="C28" s="38" t="s">
        <v>30</v>
      </c>
      <c r="D28" s="38" t="s">
        <v>31</v>
      </c>
      <c r="E28" s="38" t="s">
        <v>32</v>
      </c>
      <c r="F28" s="38" t="s">
        <v>33</v>
      </c>
      <c r="G28" s="38" t="s">
        <v>34</v>
      </c>
      <c r="H28" s="38" t="s">
        <v>35</v>
      </c>
    </row>
    <row r="29" spans="2:9" ht="15" customHeight="1"/>
    <row r="30" spans="2:9" ht="30" customHeight="1"/>
    <row r="31" spans="2:9" ht="15" customHeight="1"/>
    <row r="32" spans="2:9" ht="30" customHeight="1"/>
    <row r="33" ht="15" customHeight="1"/>
    <row r="34" ht="15" customHeight="1"/>
    <row r="35" ht="15" customHeight="1"/>
  </sheetData>
  <phoneticPr fontId="6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4"/>
  <sheetViews>
    <sheetView showGridLines="0" topLeftCell="A3" zoomScale="85" zoomScaleNormal="85" workbookViewId="0">
      <selection activeCell="I19" sqref="I19"/>
    </sheetView>
  </sheetViews>
  <sheetFormatPr defaultRowHeight="14.25"/>
  <cols>
    <col min="1" max="1" width="3.75" customWidth="1"/>
    <col min="2" max="2" width="17" customWidth="1"/>
    <col min="3" max="4" width="8.75" style="9"/>
    <col min="5" max="5" width="11.375" style="9" customWidth="1"/>
    <col min="6" max="6" width="15.375" style="9" customWidth="1"/>
    <col min="8" max="8" width="14.25" customWidth="1"/>
    <col min="9" max="9" width="45.5" style="4" customWidth="1"/>
  </cols>
  <sheetData>
    <row r="1" spans="2:9" ht="18">
      <c r="B1" s="8" t="s">
        <v>0</v>
      </c>
    </row>
    <row r="2" spans="2:9">
      <c r="B2" s="1" t="s">
        <v>1</v>
      </c>
    </row>
    <row r="4" spans="2:9" ht="15">
      <c r="B4" s="5" t="s">
        <v>90</v>
      </c>
      <c r="C4" s="10"/>
      <c r="D4" s="10"/>
      <c r="H4" s="15" t="s">
        <v>22</v>
      </c>
      <c r="I4" s="16"/>
    </row>
    <row r="5" spans="2:9" s="4" customFormat="1" ht="33.950000000000003" customHeight="1">
      <c r="B5" s="6" t="s">
        <v>2</v>
      </c>
      <c r="C5" s="11" t="s">
        <v>3</v>
      </c>
      <c r="D5" s="11" t="s">
        <v>13</v>
      </c>
      <c r="E5" s="11" t="s">
        <v>14</v>
      </c>
      <c r="F5" s="11" t="s">
        <v>15</v>
      </c>
      <c r="H5" s="27" t="s">
        <v>19</v>
      </c>
      <c r="I5" s="26" t="s">
        <v>82</v>
      </c>
    </row>
    <row r="6" spans="2:9" s="61" customFormat="1" ht="17.100000000000001" customHeight="1">
      <c r="B6" s="56" t="s">
        <v>16</v>
      </c>
      <c r="C6" s="57" t="s">
        <v>5</v>
      </c>
      <c r="D6" s="58">
        <v>35</v>
      </c>
      <c r="E6" s="58">
        <v>7</v>
      </c>
      <c r="F6" s="68">
        <f>ROUND(D6/E6,0)</f>
        <v>5</v>
      </c>
      <c r="H6" s="27"/>
      <c r="I6" s="26"/>
    </row>
    <row r="7" spans="2:9" s="65" customFormat="1" ht="17.100000000000001" customHeight="1">
      <c r="B7" s="62" t="s">
        <v>4</v>
      </c>
      <c r="C7" s="63" t="s">
        <v>5</v>
      </c>
      <c r="D7" s="52"/>
      <c r="E7" s="52"/>
      <c r="F7" s="68" t="e">
        <f t="shared" ref="F7:F21" si="0">ROUND(D7/E7,0)</f>
        <v>#DIV/0!</v>
      </c>
      <c r="H7" s="22" t="s">
        <v>18</v>
      </c>
      <c r="I7" s="21" t="s">
        <v>20</v>
      </c>
    </row>
    <row r="8" spans="2:9" s="65" customFormat="1" ht="14.45" customHeight="1">
      <c r="B8" s="62" t="s">
        <v>4</v>
      </c>
      <c r="C8" s="63" t="s">
        <v>6</v>
      </c>
      <c r="D8" s="52"/>
      <c r="E8" s="52"/>
      <c r="F8" s="68" t="e">
        <f t="shared" si="0"/>
        <v>#DIV/0!</v>
      </c>
      <c r="H8" s="25" t="s">
        <v>21</v>
      </c>
      <c r="I8" s="26" t="s">
        <v>28</v>
      </c>
    </row>
    <row r="9" spans="2:9" s="65" customFormat="1">
      <c r="B9" s="62" t="s">
        <v>4</v>
      </c>
      <c r="C9" s="63" t="s">
        <v>23</v>
      </c>
      <c r="D9" s="52"/>
      <c r="E9" s="52"/>
      <c r="F9" s="68" t="e">
        <f t="shared" si="0"/>
        <v>#DIV/0!</v>
      </c>
      <c r="H9" s="25"/>
      <c r="I9" s="26"/>
    </row>
    <row r="10" spans="2:9" s="65" customFormat="1">
      <c r="B10" s="62" t="s">
        <v>7</v>
      </c>
      <c r="C10" s="63" t="s">
        <v>5</v>
      </c>
      <c r="D10" s="52"/>
      <c r="E10" s="52"/>
      <c r="F10" s="68" t="e">
        <f t="shared" si="0"/>
        <v>#DIV/0!</v>
      </c>
      <c r="H10" s="25"/>
      <c r="I10" s="26"/>
    </row>
    <row r="11" spans="2:9" s="65" customFormat="1">
      <c r="B11" s="62" t="s">
        <v>7</v>
      </c>
      <c r="C11" s="63" t="s">
        <v>6</v>
      </c>
      <c r="D11" s="52"/>
      <c r="E11" s="52"/>
      <c r="F11" s="68" t="e">
        <f t="shared" si="0"/>
        <v>#DIV/0!</v>
      </c>
      <c r="I11" s="61"/>
    </row>
    <row r="12" spans="2:9" s="65" customFormat="1">
      <c r="B12" s="62" t="s">
        <v>67</v>
      </c>
      <c r="C12" s="63" t="s">
        <v>23</v>
      </c>
      <c r="D12" s="52"/>
      <c r="E12" s="52"/>
      <c r="F12" s="68" t="e">
        <f t="shared" si="0"/>
        <v>#DIV/0!</v>
      </c>
      <c r="I12" s="61"/>
    </row>
    <row r="13" spans="2:9" s="65" customFormat="1">
      <c r="B13" s="62" t="s">
        <v>8</v>
      </c>
      <c r="C13" s="63" t="s">
        <v>5</v>
      </c>
      <c r="D13" s="52"/>
      <c r="E13" s="52"/>
      <c r="F13" s="68" t="e">
        <f t="shared" si="0"/>
        <v>#DIV/0!</v>
      </c>
      <c r="I13" s="61"/>
    </row>
    <row r="14" spans="2:9" s="65" customFormat="1">
      <c r="B14" s="62" t="s">
        <v>8</v>
      </c>
      <c r="C14" s="63" t="s">
        <v>6</v>
      </c>
      <c r="D14" s="52"/>
      <c r="E14" s="52"/>
      <c r="F14" s="68" t="e">
        <f t="shared" si="0"/>
        <v>#DIV/0!</v>
      </c>
      <c r="I14" s="61"/>
    </row>
    <row r="15" spans="2:9" s="65" customFormat="1">
      <c r="B15" s="62" t="s">
        <v>38</v>
      </c>
      <c r="C15" s="63"/>
      <c r="D15" s="52"/>
      <c r="E15" s="52"/>
      <c r="F15" s="68" t="e">
        <f t="shared" si="0"/>
        <v>#DIV/0!</v>
      </c>
      <c r="I15" s="61"/>
    </row>
    <row r="16" spans="2:9" s="65" customFormat="1">
      <c r="B16" s="62" t="s">
        <v>9</v>
      </c>
      <c r="C16" s="63"/>
      <c r="D16" s="52"/>
      <c r="E16" s="52"/>
      <c r="F16" s="68" t="e">
        <f t="shared" si="0"/>
        <v>#DIV/0!</v>
      </c>
      <c r="I16" s="61"/>
    </row>
    <row r="17" spans="2:9" s="65" customFormat="1">
      <c r="B17" s="62" t="s">
        <v>66</v>
      </c>
      <c r="C17" s="63"/>
      <c r="D17" s="52"/>
      <c r="E17" s="52"/>
      <c r="F17" s="68" t="e">
        <f t="shared" si="0"/>
        <v>#DIV/0!</v>
      </c>
      <c r="I17" s="61"/>
    </row>
    <row r="18" spans="2:9" s="65" customFormat="1">
      <c r="B18" s="62" t="s">
        <v>10</v>
      </c>
      <c r="C18" s="63"/>
      <c r="D18" s="52"/>
      <c r="E18" s="52"/>
      <c r="F18" s="68" t="e">
        <f t="shared" si="0"/>
        <v>#DIV/0!</v>
      </c>
      <c r="I18" s="61"/>
    </row>
    <row r="19" spans="2:9" s="65" customFormat="1">
      <c r="B19" s="62" t="s">
        <v>11</v>
      </c>
      <c r="C19" s="63"/>
      <c r="D19" s="52"/>
      <c r="E19" s="52"/>
      <c r="F19" s="68" t="e">
        <f t="shared" si="0"/>
        <v>#DIV/0!</v>
      </c>
      <c r="I19" s="61"/>
    </row>
    <row r="20" spans="2:9" s="66" customFormat="1" ht="15">
      <c r="B20" s="62" t="s">
        <v>12</v>
      </c>
      <c r="C20" s="63"/>
      <c r="D20" s="52"/>
      <c r="E20" s="52"/>
      <c r="F20" s="68" t="e">
        <f t="shared" si="0"/>
        <v>#DIV/0!</v>
      </c>
      <c r="G20" s="65"/>
      <c r="H20" s="65"/>
      <c r="I20" s="61"/>
    </row>
    <row r="21" spans="2:9" s="65" customFormat="1" ht="15">
      <c r="B21" s="62" t="s">
        <v>65</v>
      </c>
      <c r="C21" s="63"/>
      <c r="D21" s="52"/>
      <c r="E21" s="52"/>
      <c r="F21" s="68" t="e">
        <f t="shared" si="0"/>
        <v>#DIV/0!</v>
      </c>
      <c r="H21" s="66"/>
      <c r="I21" s="67"/>
    </row>
    <row r="22" spans="2:9" ht="29.45" customHeight="1">
      <c r="B22" s="7" t="s">
        <v>17</v>
      </c>
      <c r="C22" s="12"/>
      <c r="D22" s="12">
        <f>SUM(D7:D21)</f>
        <v>0</v>
      </c>
      <c r="E22" s="12">
        <f>SUM(E7:E21)</f>
        <v>0</v>
      </c>
      <c r="F22" s="12"/>
      <c r="G22" s="2"/>
    </row>
    <row r="23" spans="2:9" ht="75" customHeight="1">
      <c r="B23" s="30" t="s">
        <v>85</v>
      </c>
      <c r="C23" s="24"/>
      <c r="D23" s="24"/>
      <c r="E23" s="23">
        <f>MyStudyCalendar!M10</f>
        <v>0</v>
      </c>
      <c r="F23" s="28" t="s">
        <v>39</v>
      </c>
      <c r="G23" s="29"/>
    </row>
    <row r="24" spans="2:9" ht="49.5" customHeight="1"/>
  </sheetData>
  <mergeCells count="6">
    <mergeCell ref="B23:D23"/>
    <mergeCell ref="H8:H10"/>
    <mergeCell ref="I8:I10"/>
    <mergeCell ref="H5:H6"/>
    <mergeCell ref="I5:I6"/>
    <mergeCell ref="F23:G23"/>
  </mergeCells>
  <conditionalFormatting sqref="E23">
    <cfRule type="cellIs" dxfId="2" priority="1" operator="lessThan">
      <formula>$E$22</formula>
    </cfRule>
  </conditionalFormatting>
  <pageMargins left="0.7" right="0.7" top="0.75" bottom="0.75" header="0.3" footer="0.3"/>
  <ignoredErrors>
    <ignoredError sqref="D22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opLeftCell="A15" workbookViewId="0">
      <selection activeCell="I18" sqref="I18"/>
    </sheetView>
  </sheetViews>
  <sheetFormatPr defaultRowHeight="14.25"/>
  <cols>
    <col min="1" max="1" width="11.25" customWidth="1"/>
    <col min="2" max="3" width="8.75" style="9"/>
    <col min="4" max="6" width="11.375" style="9" customWidth="1"/>
    <col min="7" max="7" width="15.375" style="9" customWidth="1"/>
    <col min="9" max="9" width="15.75" customWidth="1"/>
    <col min="10" max="10" width="43.25" style="4" customWidth="1"/>
  </cols>
  <sheetData>
    <row r="1" spans="1:11" ht="18">
      <c r="A1" s="8" t="s">
        <v>0</v>
      </c>
    </row>
    <row r="2" spans="1:11" ht="18">
      <c r="A2" s="8"/>
    </row>
    <row r="3" spans="1:11">
      <c r="A3" s="1" t="s">
        <v>1</v>
      </c>
    </row>
    <row r="4" spans="1:11">
      <c r="A4" s="5" t="s">
        <v>90</v>
      </c>
      <c r="B4" s="10"/>
      <c r="C4" s="10"/>
    </row>
    <row r="5" spans="1:11" s="4" customFormat="1" ht="33.950000000000003" customHeight="1">
      <c r="H5"/>
      <c r="I5" s="15" t="s">
        <v>22</v>
      </c>
      <c r="J5" s="16"/>
      <c r="K5"/>
    </row>
    <row r="6" spans="1:11" s="4" customFormat="1" ht="50.25" customHeight="1">
      <c r="A6" s="6" t="s">
        <v>2</v>
      </c>
      <c r="B6" s="11" t="s">
        <v>3</v>
      </c>
      <c r="C6" s="11" t="s">
        <v>13</v>
      </c>
      <c r="D6" s="11" t="s">
        <v>14</v>
      </c>
      <c r="E6" s="14" t="s">
        <v>52</v>
      </c>
      <c r="F6" s="11" t="s">
        <v>48</v>
      </c>
      <c r="G6" s="14" t="s">
        <v>53</v>
      </c>
      <c r="I6" s="17" t="s">
        <v>68</v>
      </c>
      <c r="J6" s="18" t="s">
        <v>82</v>
      </c>
    </row>
    <row r="7" spans="1:11" s="61" customFormat="1" ht="18" customHeight="1">
      <c r="A7" s="56" t="s">
        <v>16</v>
      </c>
      <c r="B7" s="58" t="s">
        <v>5</v>
      </c>
      <c r="C7" s="58">
        <v>35</v>
      </c>
      <c r="D7" s="58">
        <v>7</v>
      </c>
      <c r="E7" s="58">
        <v>4</v>
      </c>
      <c r="F7" s="58">
        <f>D7-E7</f>
        <v>3</v>
      </c>
      <c r="G7" s="68">
        <f>ROUND(C7/E7,0)</f>
        <v>9</v>
      </c>
      <c r="H7" s="65"/>
      <c r="I7" s="22" t="s">
        <v>18</v>
      </c>
      <c r="J7" s="21" t="s">
        <v>20</v>
      </c>
      <c r="K7" s="65"/>
    </row>
    <row r="8" spans="1:11" s="65" customFormat="1" ht="18" customHeight="1">
      <c r="A8" s="62" t="s">
        <v>4</v>
      </c>
      <c r="B8" s="63" t="s">
        <v>5</v>
      </c>
      <c r="C8" s="52"/>
      <c r="D8" s="52"/>
      <c r="E8" s="52"/>
      <c r="F8" s="58">
        <f t="shared" ref="F8:F21" si="0">D8-E8</f>
        <v>0</v>
      </c>
      <c r="G8" s="68" t="e">
        <f t="shared" ref="G8:G21" si="1">ROUND(C8/E8,0)</f>
        <v>#DIV/0!</v>
      </c>
      <c r="I8" s="33" t="s">
        <v>50</v>
      </c>
      <c r="J8" s="31" t="s">
        <v>83</v>
      </c>
    </row>
    <row r="9" spans="1:11" s="65" customFormat="1" ht="18" customHeight="1">
      <c r="A9" s="62" t="s">
        <v>4</v>
      </c>
      <c r="B9" s="63" t="s">
        <v>6</v>
      </c>
      <c r="C9" s="52"/>
      <c r="D9" s="52"/>
      <c r="E9" s="52"/>
      <c r="F9" s="58">
        <f t="shared" si="0"/>
        <v>0</v>
      </c>
      <c r="G9" s="68" t="e">
        <f t="shared" si="1"/>
        <v>#DIV/0!</v>
      </c>
      <c r="I9" s="34"/>
      <c r="J9" s="32"/>
    </row>
    <row r="10" spans="1:11" s="65" customFormat="1" ht="18" customHeight="1">
      <c r="A10" s="62" t="s">
        <v>4</v>
      </c>
      <c r="B10" s="63" t="s">
        <v>23</v>
      </c>
      <c r="C10" s="52"/>
      <c r="D10" s="52"/>
      <c r="E10" s="52"/>
      <c r="F10" s="58">
        <f t="shared" si="0"/>
        <v>0</v>
      </c>
      <c r="G10" s="68" t="e">
        <f t="shared" si="1"/>
        <v>#DIV/0!</v>
      </c>
      <c r="I10" s="20" t="s">
        <v>49</v>
      </c>
      <c r="J10" s="19" t="s">
        <v>51</v>
      </c>
    </row>
    <row r="11" spans="1:11" s="65" customFormat="1" ht="18" customHeight="1">
      <c r="A11" s="62" t="s">
        <v>7</v>
      </c>
      <c r="B11" s="63" t="s">
        <v>5</v>
      </c>
      <c r="C11" s="52"/>
      <c r="D11" s="52"/>
      <c r="E11" s="52"/>
      <c r="F11" s="58">
        <f t="shared" si="0"/>
        <v>0</v>
      </c>
      <c r="G11" s="68" t="e">
        <f t="shared" si="1"/>
        <v>#DIV/0!</v>
      </c>
      <c r="I11" s="25" t="s">
        <v>21</v>
      </c>
      <c r="J11" s="26" t="s">
        <v>28</v>
      </c>
    </row>
    <row r="12" spans="1:11" s="65" customFormat="1" ht="18" customHeight="1">
      <c r="A12" s="62" t="s">
        <v>7</v>
      </c>
      <c r="B12" s="63" t="s">
        <v>6</v>
      </c>
      <c r="C12" s="52"/>
      <c r="D12" s="52"/>
      <c r="E12" s="52"/>
      <c r="F12" s="58">
        <f t="shared" si="0"/>
        <v>0</v>
      </c>
      <c r="G12" s="68" t="e">
        <f t="shared" si="1"/>
        <v>#DIV/0!</v>
      </c>
      <c r="I12" s="25"/>
      <c r="J12" s="26"/>
    </row>
    <row r="13" spans="1:11" s="65" customFormat="1" ht="18" customHeight="1">
      <c r="A13" s="62" t="s">
        <v>7</v>
      </c>
      <c r="B13" s="63" t="s">
        <v>23</v>
      </c>
      <c r="C13" s="52"/>
      <c r="D13" s="52"/>
      <c r="E13" s="52"/>
      <c r="F13" s="58">
        <f t="shared" si="0"/>
        <v>0</v>
      </c>
      <c r="G13" s="68" t="e">
        <f t="shared" si="1"/>
        <v>#DIV/0!</v>
      </c>
      <c r="I13" s="25"/>
      <c r="J13" s="26"/>
    </row>
    <row r="14" spans="1:11" s="65" customFormat="1" ht="18" customHeight="1">
      <c r="A14" s="62" t="s">
        <v>24</v>
      </c>
      <c r="B14" s="63" t="s">
        <v>5</v>
      </c>
      <c r="C14" s="52"/>
      <c r="D14" s="52"/>
      <c r="E14" s="52"/>
      <c r="F14" s="58">
        <f t="shared" si="0"/>
        <v>0</v>
      </c>
      <c r="G14" s="68" t="e">
        <f t="shared" si="1"/>
        <v>#DIV/0!</v>
      </c>
      <c r="J14" s="61"/>
    </row>
    <row r="15" spans="1:11" s="65" customFormat="1" ht="18" customHeight="1">
      <c r="A15" s="62" t="s">
        <v>24</v>
      </c>
      <c r="B15" s="63" t="s">
        <v>6</v>
      </c>
      <c r="C15" s="52"/>
      <c r="D15" s="52"/>
      <c r="E15" s="52"/>
      <c r="F15" s="58">
        <f t="shared" si="0"/>
        <v>0</v>
      </c>
      <c r="G15" s="68" t="e">
        <f t="shared" si="1"/>
        <v>#DIV/0!</v>
      </c>
      <c r="J15" s="61"/>
    </row>
    <row r="16" spans="1:11" s="65" customFormat="1" ht="18" customHeight="1">
      <c r="A16" s="52" t="s">
        <v>25</v>
      </c>
      <c r="B16" s="63" t="s">
        <v>5</v>
      </c>
      <c r="C16" s="52"/>
      <c r="D16" s="52"/>
      <c r="E16" s="52"/>
      <c r="F16" s="58">
        <f t="shared" si="0"/>
        <v>0</v>
      </c>
      <c r="G16" s="68" t="e">
        <f t="shared" si="1"/>
        <v>#DIV/0!</v>
      </c>
      <c r="J16" s="61"/>
    </row>
    <row r="17" spans="1:10" s="65" customFormat="1" ht="18" customHeight="1">
      <c r="A17" s="52" t="s">
        <v>25</v>
      </c>
      <c r="B17" s="63" t="s">
        <v>6</v>
      </c>
      <c r="C17" s="52"/>
      <c r="D17" s="52"/>
      <c r="E17" s="52"/>
      <c r="F17" s="58">
        <f t="shared" si="0"/>
        <v>0</v>
      </c>
      <c r="G17" s="68" t="e">
        <f t="shared" si="1"/>
        <v>#DIV/0!</v>
      </c>
      <c r="J17" s="61"/>
    </row>
    <row r="18" spans="1:10" s="65" customFormat="1" ht="18" customHeight="1">
      <c r="A18" s="52" t="s">
        <v>26</v>
      </c>
      <c r="B18" s="63" t="s">
        <v>5</v>
      </c>
      <c r="C18" s="52"/>
      <c r="D18" s="52"/>
      <c r="E18" s="52"/>
      <c r="F18" s="58">
        <f t="shared" si="0"/>
        <v>0</v>
      </c>
      <c r="G18" s="68" t="e">
        <f t="shared" si="1"/>
        <v>#DIV/0!</v>
      </c>
      <c r="J18" s="61"/>
    </row>
    <row r="19" spans="1:10" s="65" customFormat="1" ht="18" customHeight="1">
      <c r="A19" s="52" t="s">
        <v>26</v>
      </c>
      <c r="B19" s="63" t="s">
        <v>6</v>
      </c>
      <c r="C19" s="52"/>
      <c r="D19" s="52"/>
      <c r="E19" s="52"/>
      <c r="F19" s="58">
        <f t="shared" si="0"/>
        <v>0</v>
      </c>
      <c r="G19" s="68" t="e">
        <f t="shared" si="1"/>
        <v>#DIV/0!</v>
      </c>
      <c r="J19" s="61"/>
    </row>
    <row r="20" spans="1:10" s="65" customFormat="1" ht="18" customHeight="1">
      <c r="A20" s="52" t="s">
        <v>27</v>
      </c>
      <c r="B20" s="63" t="s">
        <v>5</v>
      </c>
      <c r="C20" s="52"/>
      <c r="D20" s="52"/>
      <c r="E20" s="52"/>
      <c r="F20" s="58">
        <f t="shared" si="0"/>
        <v>0</v>
      </c>
      <c r="G20" s="68" t="e">
        <f t="shared" si="1"/>
        <v>#DIV/0!</v>
      </c>
      <c r="J20" s="61"/>
    </row>
    <row r="21" spans="1:10" s="65" customFormat="1" ht="18" customHeight="1">
      <c r="A21" s="52" t="s">
        <v>27</v>
      </c>
      <c r="B21" s="63" t="s">
        <v>6</v>
      </c>
      <c r="C21" s="52"/>
      <c r="D21" s="52"/>
      <c r="E21" s="52"/>
      <c r="F21" s="58">
        <f t="shared" si="0"/>
        <v>0</v>
      </c>
      <c r="G21" s="68" t="e">
        <f t="shared" si="1"/>
        <v>#DIV/0!</v>
      </c>
      <c r="J21" s="61"/>
    </row>
    <row r="22" spans="1:10" s="2" customFormat="1" ht="18" customHeight="1">
      <c r="A22" s="7" t="s">
        <v>17</v>
      </c>
      <c r="B22" s="12"/>
      <c r="C22" s="12"/>
      <c r="D22" s="12">
        <f>SUM(D8:D21)</f>
        <v>0</v>
      </c>
      <c r="E22" s="12"/>
      <c r="F22" s="12"/>
      <c r="G22" s="55"/>
      <c r="J22" s="3"/>
    </row>
    <row r="24" spans="1:10" ht="45" customHeight="1">
      <c r="A24" s="30" t="s">
        <v>85</v>
      </c>
      <c r="B24" s="24"/>
      <c r="C24" s="24"/>
      <c r="D24" s="54">
        <f>MyStudyCalendar!M10</f>
        <v>0</v>
      </c>
      <c r="E24" s="35" t="s">
        <v>84</v>
      </c>
      <c r="F24" s="36"/>
      <c r="G24" s="36"/>
    </row>
    <row r="25" spans="1:10" ht="75" customHeight="1"/>
  </sheetData>
  <mergeCells count="6">
    <mergeCell ref="A24:C24"/>
    <mergeCell ref="J11:J13"/>
    <mergeCell ref="I11:I13"/>
    <mergeCell ref="J8:J9"/>
    <mergeCell ref="I8:I9"/>
    <mergeCell ref="E24:G24"/>
  </mergeCells>
  <phoneticPr fontId="6" type="noConversion"/>
  <conditionalFormatting sqref="D24">
    <cfRule type="cellIs" dxfId="1" priority="1" operator="lessThan">
      <formula>$D$22</formula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5"/>
  <sheetViews>
    <sheetView showGridLines="0" topLeftCell="A7" workbookViewId="0">
      <selection activeCell="J19" sqref="J19"/>
    </sheetView>
  </sheetViews>
  <sheetFormatPr defaultRowHeight="15"/>
  <cols>
    <col min="1" max="1" width="3.25" style="38" customWidth="1"/>
    <col min="2" max="11" width="9" style="38"/>
    <col min="12" max="12" width="5" style="38" customWidth="1"/>
    <col min="13" max="13" width="7.5" style="38" customWidth="1"/>
    <col min="14" max="16384" width="9" style="38"/>
  </cols>
  <sheetData>
    <row r="1" spans="2:14" ht="18.75">
      <c r="B1" s="37" t="s">
        <v>81</v>
      </c>
    </row>
    <row r="3" spans="2:14">
      <c r="B3" s="39" t="s">
        <v>37</v>
      </c>
      <c r="C3" s="39"/>
    </row>
    <row r="4" spans="2:14">
      <c r="B4" s="38" t="s">
        <v>89</v>
      </c>
    </row>
    <row r="5" spans="2:14">
      <c r="B5" s="38" t="s">
        <v>36</v>
      </c>
    </row>
    <row r="7" spans="2:14">
      <c r="B7" s="40"/>
    </row>
    <row r="8" spans="2:14">
      <c r="B8" s="38" t="s">
        <v>29</v>
      </c>
      <c r="C8" s="38" t="s">
        <v>30</v>
      </c>
      <c r="D8" s="38" t="s">
        <v>31</v>
      </c>
      <c r="E8" s="38" t="s">
        <v>32</v>
      </c>
      <c r="F8" s="38" t="s">
        <v>33</v>
      </c>
      <c r="G8" s="38" t="s">
        <v>34</v>
      </c>
      <c r="H8" s="38" t="s">
        <v>35</v>
      </c>
    </row>
    <row r="9" spans="2:14">
      <c r="B9" s="41" t="s">
        <v>87</v>
      </c>
      <c r="C9" s="42">
        <v>23</v>
      </c>
      <c r="D9" s="42">
        <f t="shared" ref="D9:H9" si="0">C9+1</f>
        <v>24</v>
      </c>
      <c r="E9" s="42">
        <f t="shared" si="0"/>
        <v>25</v>
      </c>
      <c r="F9" s="42">
        <f t="shared" si="0"/>
        <v>26</v>
      </c>
      <c r="G9" s="42">
        <f t="shared" si="0"/>
        <v>27</v>
      </c>
      <c r="H9" s="42">
        <f t="shared" si="0"/>
        <v>28</v>
      </c>
    </row>
    <row r="10" spans="2:14" ht="30" customHeight="1">
      <c r="B10" s="43">
        <v>0</v>
      </c>
      <c r="C10" s="43">
        <v>0</v>
      </c>
      <c r="D10" s="43">
        <v>0</v>
      </c>
      <c r="E10" s="43">
        <v>0</v>
      </c>
      <c r="F10" s="43">
        <v>0</v>
      </c>
      <c r="G10" s="43">
        <v>0</v>
      </c>
      <c r="H10" s="43">
        <v>1</v>
      </c>
      <c r="J10" s="40" t="s">
        <v>41</v>
      </c>
      <c r="M10" s="49">
        <f>SUM(B9:H22)-736</f>
        <v>102</v>
      </c>
      <c r="N10" s="38" t="s">
        <v>64</v>
      </c>
    </row>
    <row r="11" spans="2:14" ht="15" customHeight="1">
      <c r="B11" s="42">
        <f>H9+1</f>
        <v>29</v>
      </c>
      <c r="C11" s="42">
        <f t="shared" ref="C11" si="1">B11+1</f>
        <v>30</v>
      </c>
      <c r="D11" s="41" t="s">
        <v>86</v>
      </c>
      <c r="E11" s="42">
        <v>2</v>
      </c>
      <c r="F11" s="42">
        <f>E11+1</f>
        <v>3</v>
      </c>
      <c r="G11" s="42">
        <f>F11+1</f>
        <v>4</v>
      </c>
      <c r="H11" s="42">
        <f>G11+1</f>
        <v>5</v>
      </c>
      <c r="I11" s="44"/>
    </row>
    <row r="12" spans="2:14" ht="30" customHeight="1">
      <c r="B12" s="43">
        <v>1</v>
      </c>
      <c r="C12" s="43">
        <v>2</v>
      </c>
      <c r="D12" s="43">
        <v>2</v>
      </c>
      <c r="E12" s="43">
        <v>2</v>
      </c>
      <c r="F12" s="43">
        <v>2</v>
      </c>
      <c r="G12" s="43">
        <v>2</v>
      </c>
      <c r="H12" s="43">
        <v>1</v>
      </c>
      <c r="I12" s="45"/>
    </row>
    <row r="13" spans="2:14" ht="15" customHeight="1">
      <c r="B13" s="42">
        <f>H11+1</f>
        <v>6</v>
      </c>
      <c r="C13" s="41" t="s">
        <v>88</v>
      </c>
      <c r="D13" s="42">
        <v>8</v>
      </c>
      <c r="E13" s="42">
        <f>D13+1</f>
        <v>9</v>
      </c>
      <c r="F13" s="42">
        <f>E13+1</f>
        <v>10</v>
      </c>
      <c r="G13" s="42">
        <f>F13+1</f>
        <v>11</v>
      </c>
      <c r="H13" s="42">
        <f>G13+1</f>
        <v>12</v>
      </c>
      <c r="I13" s="46"/>
    </row>
    <row r="14" spans="2:14" ht="30" customHeight="1">
      <c r="B14" s="43">
        <v>1</v>
      </c>
      <c r="C14" s="43">
        <v>2</v>
      </c>
      <c r="D14" s="43">
        <v>3</v>
      </c>
      <c r="E14" s="43">
        <v>3</v>
      </c>
      <c r="F14" s="43">
        <v>3</v>
      </c>
      <c r="G14" s="43">
        <v>3</v>
      </c>
      <c r="H14" s="43">
        <v>4</v>
      </c>
      <c r="I14" s="45"/>
    </row>
    <row r="15" spans="2:14" ht="15" customHeight="1">
      <c r="B15" s="42">
        <f>H13+1</f>
        <v>13</v>
      </c>
      <c r="C15" s="42">
        <f>B15+1</f>
        <v>14</v>
      </c>
      <c r="D15" s="42">
        <f>C15+1</f>
        <v>15</v>
      </c>
      <c r="E15" s="42">
        <f>D15+1</f>
        <v>16</v>
      </c>
      <c r="F15" s="42">
        <f>E15+1</f>
        <v>17</v>
      </c>
      <c r="G15" s="42">
        <f>F15+1</f>
        <v>18</v>
      </c>
      <c r="H15" s="42">
        <f>G15+1</f>
        <v>19</v>
      </c>
      <c r="I15" s="46"/>
    </row>
    <row r="16" spans="2:14" ht="30" customHeight="1">
      <c r="B16" s="43">
        <v>4</v>
      </c>
      <c r="C16" s="43">
        <v>3</v>
      </c>
      <c r="D16" s="43">
        <v>3</v>
      </c>
      <c r="E16" s="43">
        <v>3</v>
      </c>
      <c r="F16" s="43">
        <v>3</v>
      </c>
      <c r="G16" s="43">
        <v>3</v>
      </c>
      <c r="H16" s="43">
        <v>4</v>
      </c>
    </row>
    <row r="17" spans="2:9" ht="15" customHeight="1">
      <c r="B17" s="42">
        <f>H15+1</f>
        <v>20</v>
      </c>
      <c r="C17" s="42">
        <f>B17+1</f>
        <v>21</v>
      </c>
      <c r="D17" s="42">
        <f>C17+1</f>
        <v>22</v>
      </c>
      <c r="E17" s="42">
        <f>D17+1</f>
        <v>23</v>
      </c>
      <c r="F17" s="42">
        <f>E17+1</f>
        <v>24</v>
      </c>
      <c r="G17" s="42">
        <f>F17+1</f>
        <v>25</v>
      </c>
      <c r="H17" s="42">
        <f>G17+1</f>
        <v>26</v>
      </c>
      <c r="I17" s="44"/>
    </row>
    <row r="18" spans="2:9" ht="30" customHeight="1">
      <c r="B18" s="43">
        <v>4</v>
      </c>
      <c r="C18" s="43">
        <v>3</v>
      </c>
      <c r="D18" s="43">
        <v>3</v>
      </c>
      <c r="E18" s="43">
        <v>3</v>
      </c>
      <c r="F18" s="43">
        <v>3</v>
      </c>
      <c r="G18" s="43"/>
      <c r="H18" s="43">
        <v>4</v>
      </c>
      <c r="I18" s="47"/>
    </row>
    <row r="19" spans="2:9" ht="15" customHeight="1">
      <c r="B19" s="42">
        <f>H17+1</f>
        <v>27</v>
      </c>
      <c r="C19" s="42">
        <f>B19+1</f>
        <v>28</v>
      </c>
      <c r="D19" s="42">
        <f>C19+1</f>
        <v>29</v>
      </c>
      <c r="E19" s="42">
        <f>D19+1</f>
        <v>30</v>
      </c>
      <c r="F19" s="42">
        <f>E19+1</f>
        <v>31</v>
      </c>
      <c r="G19" s="42">
        <v>1</v>
      </c>
      <c r="H19" s="42">
        <f>G19+1</f>
        <v>2</v>
      </c>
    </row>
    <row r="20" spans="2:9" ht="30" customHeight="1">
      <c r="B20" s="43">
        <v>4</v>
      </c>
      <c r="C20" s="43">
        <v>3</v>
      </c>
      <c r="D20" s="43">
        <v>3</v>
      </c>
      <c r="E20" s="43">
        <v>3</v>
      </c>
      <c r="F20" s="43">
        <v>3</v>
      </c>
      <c r="G20" s="43">
        <v>3</v>
      </c>
      <c r="H20" s="43">
        <v>0</v>
      </c>
    </row>
    <row r="21" spans="2:9" ht="15" customHeight="1">
      <c r="B21" s="42">
        <f>H19+1</f>
        <v>3</v>
      </c>
      <c r="C21" s="42">
        <f t="shared" ref="C21:G21" si="2">B21+1</f>
        <v>4</v>
      </c>
      <c r="D21" s="42">
        <f t="shared" si="2"/>
        <v>5</v>
      </c>
      <c r="E21" s="42">
        <f t="shared" si="2"/>
        <v>6</v>
      </c>
      <c r="F21" s="42">
        <f t="shared" si="2"/>
        <v>7</v>
      </c>
      <c r="G21" s="42">
        <f t="shared" si="2"/>
        <v>8</v>
      </c>
    </row>
    <row r="22" spans="2:9" ht="30" customHeight="1">
      <c r="B22" s="43">
        <v>0</v>
      </c>
      <c r="C22" s="43">
        <v>2</v>
      </c>
      <c r="D22" s="43">
        <v>2</v>
      </c>
      <c r="E22" s="43">
        <v>2</v>
      </c>
      <c r="F22" s="43">
        <v>2</v>
      </c>
      <c r="G22" s="48" t="s">
        <v>63</v>
      </c>
    </row>
    <row r="23" spans="2:9" ht="30" customHeight="1"/>
    <row r="24" spans="2:9" ht="15" customHeight="1"/>
    <row r="25" spans="2:9" ht="30" customHeight="1"/>
    <row r="26" spans="2:9" ht="15" customHeight="1"/>
    <row r="27" spans="2:9" ht="15" customHeight="1">
      <c r="B27" s="40" t="s">
        <v>40</v>
      </c>
    </row>
    <row r="28" spans="2:9" ht="15" customHeight="1">
      <c r="B28" s="38" t="s">
        <v>29</v>
      </c>
      <c r="C28" s="38" t="s">
        <v>30</v>
      </c>
      <c r="D28" s="38" t="s">
        <v>31</v>
      </c>
      <c r="E28" s="38" t="s">
        <v>32</v>
      </c>
      <c r="F28" s="38" t="s">
        <v>33</v>
      </c>
      <c r="G28" s="38" t="s">
        <v>34</v>
      </c>
      <c r="H28" s="38" t="s">
        <v>35</v>
      </c>
    </row>
    <row r="29" spans="2:9" ht="15" customHeight="1"/>
    <row r="30" spans="2:9" ht="30" customHeight="1"/>
    <row r="31" spans="2:9" ht="15" customHeight="1"/>
    <row r="32" spans="2:9" ht="30" customHeight="1"/>
    <row r="33" ht="15" customHeight="1"/>
    <row r="34" ht="15" customHeight="1"/>
    <row r="35" ht="15" customHeight="1"/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4"/>
  <sheetViews>
    <sheetView showGridLines="0" topLeftCell="A4" zoomScale="85" zoomScaleNormal="85" workbookViewId="0">
      <selection activeCell="I23" sqref="I23"/>
    </sheetView>
  </sheetViews>
  <sheetFormatPr defaultRowHeight="14.25"/>
  <cols>
    <col min="1" max="1" width="4.5" customWidth="1"/>
    <col min="2" max="2" width="17" customWidth="1"/>
    <col min="3" max="4" width="9" style="9"/>
    <col min="5" max="5" width="11.375" style="9" customWidth="1"/>
    <col min="6" max="6" width="15.375" style="9" customWidth="1"/>
    <col min="7" max="7" width="8.375" customWidth="1"/>
    <col min="8" max="8" width="7.75" customWidth="1"/>
    <col min="9" max="9" width="15.5" style="4" customWidth="1"/>
    <col min="10" max="10" width="53.5" customWidth="1"/>
  </cols>
  <sheetData>
    <row r="1" spans="2:10" ht="18">
      <c r="B1" s="8" t="s">
        <v>0</v>
      </c>
    </row>
    <row r="2" spans="2:10">
      <c r="B2" s="1" t="s">
        <v>1</v>
      </c>
    </row>
    <row r="4" spans="2:10" ht="15">
      <c r="B4" s="5" t="s">
        <v>90</v>
      </c>
      <c r="C4" s="10"/>
      <c r="D4" s="10"/>
      <c r="I4" s="15" t="s">
        <v>22</v>
      </c>
      <c r="J4" s="16"/>
    </row>
    <row r="5" spans="2:10" s="4" customFormat="1" ht="33.950000000000003" customHeight="1">
      <c r="B5" s="6" t="s">
        <v>2</v>
      </c>
      <c r="C5" s="11" t="s">
        <v>3</v>
      </c>
      <c r="D5" s="11" t="s">
        <v>13</v>
      </c>
      <c r="E5" s="11" t="s">
        <v>14</v>
      </c>
      <c r="F5" s="11" t="s">
        <v>15</v>
      </c>
      <c r="I5" s="27" t="s">
        <v>19</v>
      </c>
      <c r="J5" s="31" t="s">
        <v>82</v>
      </c>
    </row>
    <row r="6" spans="2:10" s="61" customFormat="1" ht="17.100000000000001" customHeight="1">
      <c r="B6" s="56" t="s">
        <v>16</v>
      </c>
      <c r="C6" s="57" t="s">
        <v>5</v>
      </c>
      <c r="D6" s="58">
        <v>35</v>
      </c>
      <c r="E6" s="59">
        <v>7</v>
      </c>
      <c r="F6" s="60">
        <f>ROUND(D6/E6,0)</f>
        <v>5</v>
      </c>
      <c r="I6" s="27"/>
      <c r="J6" s="32"/>
    </row>
    <row r="7" spans="2:10" s="65" customFormat="1" ht="17.100000000000001" customHeight="1">
      <c r="B7" s="62" t="s">
        <v>4</v>
      </c>
      <c r="C7" s="63" t="s">
        <v>5</v>
      </c>
      <c r="D7" s="52">
        <v>12</v>
      </c>
      <c r="E7" s="64">
        <v>2</v>
      </c>
      <c r="F7" s="60">
        <f t="shared" ref="F7:F21" si="0">ROUND(D7/E7,0)</f>
        <v>6</v>
      </c>
      <c r="I7" s="22" t="s">
        <v>18</v>
      </c>
      <c r="J7" s="21" t="s">
        <v>20</v>
      </c>
    </row>
    <row r="8" spans="2:10" s="65" customFormat="1" ht="14.45" customHeight="1">
      <c r="B8" s="62" t="s">
        <v>4</v>
      </c>
      <c r="C8" s="63" t="s">
        <v>6</v>
      </c>
      <c r="D8" s="52">
        <v>15</v>
      </c>
      <c r="E8" s="64">
        <v>8</v>
      </c>
      <c r="F8" s="60">
        <f t="shared" si="0"/>
        <v>2</v>
      </c>
      <c r="I8" s="25" t="s">
        <v>21</v>
      </c>
      <c r="J8" s="31" t="s">
        <v>28</v>
      </c>
    </row>
    <row r="9" spans="2:10" s="65" customFormat="1">
      <c r="B9" s="62" t="s">
        <v>4</v>
      </c>
      <c r="C9" s="63" t="s">
        <v>23</v>
      </c>
      <c r="D9" s="52">
        <v>2</v>
      </c>
      <c r="E9" s="64">
        <f t="shared" ref="E9:E18" si="1">D9/269*102</f>
        <v>0.75836431226765799</v>
      </c>
      <c r="F9" s="60">
        <f t="shared" si="0"/>
        <v>3</v>
      </c>
      <c r="I9" s="25"/>
      <c r="J9" s="50"/>
    </row>
    <row r="10" spans="2:10" s="65" customFormat="1">
      <c r="B10" s="62" t="s">
        <v>7</v>
      </c>
      <c r="C10" s="63" t="s">
        <v>5</v>
      </c>
      <c r="D10" s="52">
        <v>12</v>
      </c>
      <c r="E10" s="64">
        <v>2</v>
      </c>
      <c r="F10" s="60">
        <f t="shared" si="0"/>
        <v>6</v>
      </c>
      <c r="I10" s="25"/>
      <c r="J10" s="32"/>
    </row>
    <row r="11" spans="2:10" s="65" customFormat="1">
      <c r="B11" s="62" t="s">
        <v>7</v>
      </c>
      <c r="C11" s="63" t="s">
        <v>6</v>
      </c>
      <c r="D11" s="52">
        <v>15</v>
      </c>
      <c r="E11" s="64">
        <v>8</v>
      </c>
      <c r="F11" s="60">
        <f t="shared" si="0"/>
        <v>2</v>
      </c>
      <c r="I11" s="61"/>
    </row>
    <row r="12" spans="2:10" s="65" customFormat="1">
      <c r="B12" s="62" t="s">
        <v>67</v>
      </c>
      <c r="C12" s="63" t="s">
        <v>23</v>
      </c>
      <c r="D12" s="52">
        <v>2</v>
      </c>
      <c r="E12" s="64">
        <f t="shared" si="1"/>
        <v>0.75836431226765799</v>
      </c>
      <c r="F12" s="60">
        <f t="shared" si="0"/>
        <v>3</v>
      </c>
      <c r="I12" s="61"/>
    </row>
    <row r="13" spans="2:10" s="65" customFormat="1">
      <c r="B13" s="62" t="s">
        <v>8</v>
      </c>
      <c r="C13" s="63" t="s">
        <v>5</v>
      </c>
      <c r="D13" s="52">
        <v>8</v>
      </c>
      <c r="E13" s="64">
        <v>6</v>
      </c>
      <c r="F13" s="60">
        <f t="shared" si="0"/>
        <v>1</v>
      </c>
      <c r="I13" s="61"/>
    </row>
    <row r="14" spans="2:10" s="65" customFormat="1">
      <c r="B14" s="62" t="s">
        <v>8</v>
      </c>
      <c r="C14" s="63" t="s">
        <v>6</v>
      </c>
      <c r="D14" s="52">
        <v>8</v>
      </c>
      <c r="E14" s="64">
        <v>6</v>
      </c>
      <c r="F14" s="60">
        <f t="shared" si="0"/>
        <v>1</v>
      </c>
      <c r="I14" s="61"/>
    </row>
    <row r="15" spans="2:10" s="65" customFormat="1">
      <c r="B15" s="62" t="s">
        <v>38</v>
      </c>
      <c r="C15" s="63"/>
      <c r="D15" s="52">
        <v>50</v>
      </c>
      <c r="E15" s="64">
        <v>14</v>
      </c>
      <c r="F15" s="60">
        <f t="shared" si="0"/>
        <v>4</v>
      </c>
      <c r="I15" s="61"/>
    </row>
    <row r="16" spans="2:10" s="65" customFormat="1">
      <c r="B16" s="62" t="s">
        <v>9</v>
      </c>
      <c r="C16" s="63"/>
      <c r="D16" s="52">
        <v>20</v>
      </c>
      <c r="E16" s="64">
        <v>3</v>
      </c>
      <c r="F16" s="60">
        <f t="shared" si="0"/>
        <v>7</v>
      </c>
      <c r="I16" s="61"/>
    </row>
    <row r="17" spans="2:9" s="65" customFormat="1">
      <c r="B17" s="62" t="s">
        <v>66</v>
      </c>
      <c r="C17" s="63"/>
      <c r="D17" s="52">
        <v>35</v>
      </c>
      <c r="E17" s="64">
        <f t="shared" si="1"/>
        <v>13.271375464684015</v>
      </c>
      <c r="F17" s="60">
        <f t="shared" si="0"/>
        <v>3</v>
      </c>
      <c r="I17" s="61"/>
    </row>
    <row r="18" spans="2:9" s="65" customFormat="1">
      <c r="B18" s="62" t="s">
        <v>10</v>
      </c>
      <c r="C18" s="63"/>
      <c r="D18" s="52">
        <v>18</v>
      </c>
      <c r="E18" s="64">
        <f t="shared" si="1"/>
        <v>6.8252788104089213</v>
      </c>
      <c r="F18" s="60">
        <f t="shared" si="0"/>
        <v>3</v>
      </c>
      <c r="I18" s="61"/>
    </row>
    <row r="19" spans="2:9" s="65" customFormat="1">
      <c r="B19" s="62" t="s">
        <v>11</v>
      </c>
      <c r="C19" s="63"/>
      <c r="D19" s="52">
        <v>30</v>
      </c>
      <c r="E19" s="64">
        <v>10</v>
      </c>
      <c r="F19" s="60">
        <f t="shared" si="0"/>
        <v>3</v>
      </c>
      <c r="I19" s="61"/>
    </row>
    <row r="20" spans="2:9" s="66" customFormat="1" ht="15">
      <c r="B20" s="62" t="s">
        <v>12</v>
      </c>
      <c r="C20" s="63"/>
      <c r="D20" s="52">
        <v>30</v>
      </c>
      <c r="E20" s="64">
        <v>8</v>
      </c>
      <c r="F20" s="60">
        <f t="shared" si="0"/>
        <v>4</v>
      </c>
      <c r="G20" s="65"/>
      <c r="H20" s="65"/>
      <c r="I20" s="61"/>
    </row>
    <row r="21" spans="2:9" s="65" customFormat="1" ht="15">
      <c r="B21" s="62" t="s">
        <v>65</v>
      </c>
      <c r="C21" s="63"/>
      <c r="D21" s="52">
        <v>12</v>
      </c>
      <c r="E21" s="64">
        <v>3</v>
      </c>
      <c r="F21" s="60">
        <f t="shared" si="0"/>
        <v>4</v>
      </c>
      <c r="H21" s="66"/>
      <c r="I21" s="67"/>
    </row>
    <row r="22" spans="2:9" ht="29.45" customHeight="1">
      <c r="B22" s="7" t="s">
        <v>17</v>
      </c>
      <c r="C22" s="12"/>
      <c r="D22" s="12">
        <f>SUM(D7:D21)</f>
        <v>269</v>
      </c>
      <c r="E22" s="51">
        <f>SUM(E7:E21)</f>
        <v>91.613382899628249</v>
      </c>
      <c r="F22" s="12"/>
      <c r="G22" s="2"/>
    </row>
    <row r="23" spans="2:9" ht="75" customHeight="1">
      <c r="B23" s="30" t="s">
        <v>85</v>
      </c>
      <c r="C23" s="24"/>
      <c r="D23" s="24"/>
      <c r="E23" s="53">
        <f>'DEMO MyStudyCalendar'!M10</f>
        <v>102</v>
      </c>
      <c r="F23" s="28" t="s">
        <v>39</v>
      </c>
      <c r="G23" s="29"/>
    </row>
    <row r="24" spans="2:9" ht="49.5" customHeight="1"/>
  </sheetData>
  <mergeCells count="6">
    <mergeCell ref="J5:J6"/>
    <mergeCell ref="J8:J10"/>
    <mergeCell ref="I5:I6"/>
    <mergeCell ref="I8:I10"/>
    <mergeCell ref="B23:D23"/>
    <mergeCell ref="F23:G23"/>
  </mergeCells>
  <conditionalFormatting sqref="E23">
    <cfRule type="cellIs" dxfId="0" priority="1" operator="lessThan">
      <formula>$E$22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Why plan</vt:lpstr>
      <vt:lpstr>Instructions</vt:lpstr>
      <vt:lpstr>MyStudyCalendar</vt:lpstr>
      <vt:lpstr>Gd 7 - 9</vt:lpstr>
      <vt:lpstr>Gd 10 -12</vt:lpstr>
      <vt:lpstr>DEMO MyStudyCalendar</vt:lpstr>
      <vt:lpstr>DEMO Gd 7 - 9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Buchanan</dc:creator>
  <cp:lastModifiedBy>jbuchanan</cp:lastModifiedBy>
  <dcterms:created xsi:type="dcterms:W3CDTF">2024-09-04T19:07:42Z</dcterms:created>
  <dcterms:modified xsi:type="dcterms:W3CDTF">2024-09-17T08:13:50Z</dcterms:modified>
</cp:coreProperties>
</file>